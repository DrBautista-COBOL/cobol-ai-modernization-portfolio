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How to use" sheetId="1" state="visible" r:id="rId3"/>
    <sheet name="Nodes" sheetId="2" state="visible" r:id="rId4"/>
    <sheet name="Relationships" sheetId="3" state="visible" r:id="rId5"/>
    <sheet name="Summary" sheetId="4" state="visible" r:id="rId6"/>
  </sheets>
  <definedNames>
    <definedName function="false" hidden="true" localSheetId="1" name="_xlnm._FilterDatabase" vbProcedure="false">Nodes!$A$1:$H$17</definedName>
    <definedName function="false" hidden="true" localSheetId="2" name="_xlnm._FilterDatabase" vbProcedure="false">Relationships!$A$1:$I$21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<sst xmlns="http://schemas.openxmlformats.org/spreadsheetml/2006/main" count="307" uniqueCount="155">
  <si>
    <t xml:space="preserve">Step 6, Phase 3: CardDemo dependency inventory (pilot: CBACT04C / INTCALC)</t>
  </si>
  <si>
    <t xml:space="preserve">What this is</t>
  </si>
  <si>
    <t xml:space="preserve">An AI first pass over the CardDemo source. Every row says WHERE in the code it came from. Your job: open that file at that line and confirm.</t>
  </si>
  <si>
    <t xml:space="preserve">How to check each row</t>
  </si>
  <si>
    <t xml:space="preserve">1. Go to the Nodes or Relationships sheet.</t>
  </si>
  <si>
    <t xml:space="preserve">2. Click the blue link in 'Source file'. GitHub opens THAT file with the line highlighted in yellow. Check the file name at the top of the GitHub page: it changes from row to row (program, JCL or scheduler).</t>
  </si>
  <si>
    <t xml:space="preserve">3. In the yellow 'Verified' column pick Y (correct), N (wrong) or ? (unsure).</t>
  </si>
  <si>
    <t xml:space="preserve">4. If N or ?, write what you found in the yellow 'Your notes' column.</t>
  </si>
  <si>
    <t xml:space="preserve">5. The Summary sheet counts your progress automatically.</t>
  </si>
  <si>
    <t xml:space="preserve">Only the two yellow columns are for you to edit. Leave the 'id' columns as they are: Neo4j uses them to connect the rows.</t>
  </si>
  <si>
    <t xml:space="preserve">Source</t>
  </si>
  <si>
    <t xml:space="preserve">github.com/aws-samples/aws-mainframe-modernization-carddemo, folder app/ (commit 59cc6c2). Paths like cbl/CBACT04C.cbl are inside app/.</t>
  </si>
  <si>
    <t xml:space="preserve">Items worth a closer look</t>
  </si>
  <si>
    <t xml:space="preserve">- XREFFIL1 DD (alternate index path): the program never names it, yet the READ at line 394 uses the alternate key. Confirm that's why the DD is needed.</t>
  </si>
  <si>
    <t xml:space="preserve">- DISCGRP is read twice (lines 416 and 444). Is the second read a fallback to a DEFAULT group when the first isn't found?</t>
  </si>
  <si>
    <t xml:space="preserve">- CEE3ABD is an IBM system routine, not CardDemo code. Keep it in the graph or drop it?</t>
  </si>
  <si>
    <t xml:space="preserve">- CLOSEFIL / COMBTRAN are only scheduler neighbours; their own programs are not inventoried yet.</t>
  </si>
  <si>
    <t xml:space="preserve">id</t>
  </si>
  <si>
    <t xml:space="preserve">label</t>
  </si>
  <si>
    <t xml:space="preserve">name</t>
  </si>
  <si>
    <t xml:space="preserve">description</t>
  </si>
  <si>
    <t xml:space="preserve">Source file</t>
  </si>
  <si>
    <t xml:space="preserve">Line(s)</t>
  </si>
  <si>
    <t xml:space="preserve">Verified</t>
  </si>
  <si>
    <t xml:space="preserve">Your notes</t>
  </si>
  <si>
    <t xml:space="preserve">INTCALC</t>
  </si>
  <si>
    <t xml:space="preserve">Job</t>
  </si>
  <si>
    <t xml:space="preserve">Monthly interest calculation job</t>
  </si>
  <si>
    <t xml:space="preserve">jcl/INTCALC.jcl</t>
  </si>
  <si>
    <t xml:space="preserve">1</t>
  </si>
  <si>
    <t xml:space="preserve">Y</t>
  </si>
  <si>
    <t xml:space="preserve">CLOSEFIL</t>
  </si>
  <si>
    <t xml:space="preserve">Runs before INTCALC (closes CICS files)</t>
  </si>
  <si>
    <t xml:space="preserve">scheduler/CardDemo.controlm</t>
  </si>
  <si>
    <t xml:space="preserve">63</t>
  </si>
  <si>
    <t xml:space="preserve">COMBTRAN</t>
  </si>
  <si>
    <t xml:space="preserve">Runs after INTCALC (combines transaction files)</t>
  </si>
  <si>
    <t xml:space="preserve">75</t>
  </si>
  <si>
    <t xml:space="preserve">CBACT04C</t>
  </si>
  <si>
    <t xml:space="preserve">Program</t>
  </si>
  <si>
    <t xml:space="preserve">Batch COBOL: computes interest and fees per account/category</t>
  </si>
  <si>
    <t xml:space="preserve">cbl/CBACT04C.cbl</t>
  </si>
  <si>
    <t xml:space="preserve">CEE3ABD</t>
  </si>
  <si>
    <t xml:space="preserve">SystemRoutine</t>
  </si>
  <si>
    <t xml:space="preserve">IBM Language Environment abend routine (system, not CardDemo code)</t>
  </si>
  <si>
    <t xml:space="preserve">632</t>
  </si>
  <si>
    <t xml:space="preserve">TCATBAL</t>
  </si>
  <si>
    <t xml:space="preserve">Dataset</t>
  </si>
  <si>
    <t xml:space="preserve">AWS.M2.CARDDEMO.TCATBALF.VSAM.KSDS</t>
  </si>
  <si>
    <t xml:space="preserve">Transaction category balances (KSDS)</t>
  </si>
  <si>
    <t xml:space="preserve">28</t>
  </si>
  <si>
    <t xml:space="preserve">CARDXREF</t>
  </si>
  <si>
    <t xml:space="preserve">AWS.M2.CARDDEMO.CARDXREF.VSAM.KSDS</t>
  </si>
  <si>
    <t xml:space="preserve">Card-to-account cross reference (KSDS)</t>
  </si>
  <si>
    <t xml:space="preserve">30</t>
  </si>
  <si>
    <t xml:space="preserve">CARDXREF_AIX</t>
  </si>
  <si>
    <t xml:space="preserve">AWS.M2.CARDDEMO.CARDXREF.VSAM.AIX.PATH</t>
  </si>
  <si>
    <t xml:space="preserve">Alternate index path on CARDXREF by account ID</t>
  </si>
  <si>
    <t xml:space="preserve">32</t>
  </si>
  <si>
    <t xml:space="preserve">ACCTDATA</t>
  </si>
  <si>
    <t xml:space="preserve">AWS.M2.CARDDEMO.ACCTDATA.VSAM.KSDS</t>
  </si>
  <si>
    <t xml:space="preserve">Account master (KSDS)</t>
  </si>
  <si>
    <t xml:space="preserve">34</t>
  </si>
  <si>
    <t xml:space="preserve">DISCGRP</t>
  </si>
  <si>
    <t xml:space="preserve">AWS.M2.CARDDEMO.DISCGRP.VSAM.KSDS</t>
  </si>
  <si>
    <t xml:space="preserve">Disclosure groups / interest rates (KSDS)</t>
  </si>
  <si>
    <t xml:space="preserve">36</t>
  </si>
  <si>
    <t xml:space="preserve">SYSTRAN</t>
  </si>
  <si>
    <t xml:space="preserve">AWS.M2.CARDDEMO.SYSTRAN(+1)</t>
  </si>
  <si>
    <t xml:space="preserve">System-generated interest transactions (new GDG generation)</t>
  </si>
  <si>
    <t xml:space="preserve">41</t>
  </si>
  <si>
    <t xml:space="preserve">AI cited line 42; corrected to 41 in review (DSN line of the TRANSACT DD).</t>
  </si>
  <si>
    <t xml:space="preserve">CVTRA01Y</t>
  </si>
  <si>
    <t xml:space="preserve">Copybook</t>
  </si>
  <si>
    <t xml:space="preserve">Layout TRAN-CAT-BAL-RECORD (50 bytes)</t>
  </si>
  <si>
    <t xml:space="preserve">cpy/CVTRA01Y.cpy</t>
  </si>
  <si>
    <t xml:space="preserve">CVACT03Y</t>
  </si>
  <si>
    <t xml:space="preserve">Layout CARD-XREF-RECORD (50 bytes)</t>
  </si>
  <si>
    <t xml:space="preserve">cpy/CVACT03Y.cpy</t>
  </si>
  <si>
    <t xml:space="preserve">CVTRA02Y</t>
  </si>
  <si>
    <t xml:space="preserve">Layout DIS-GROUP-RECORD (50 bytes)</t>
  </si>
  <si>
    <t xml:space="preserve">cpy/CVTRA02Y.cpy</t>
  </si>
  <si>
    <t xml:space="preserve">CVACT01Y</t>
  </si>
  <si>
    <t xml:space="preserve">Layout ACCOUNT-RECORD (300 bytes)</t>
  </si>
  <si>
    <t xml:space="preserve">cpy/CVACT01Y.cpy</t>
  </si>
  <si>
    <t xml:space="preserve">CVTRA05Y</t>
  </si>
  <si>
    <t xml:space="preserve">Layout TRAN-RECORD (350 bytes)</t>
  </si>
  <si>
    <t xml:space="preserve">cpy/CVTRA05Y.cpy</t>
  </si>
  <si>
    <t xml:space="preserve">from_id</t>
  </si>
  <si>
    <t xml:space="preserve">type</t>
  </si>
  <si>
    <t xml:space="preserve">to_id</t>
  </si>
  <si>
    <t xml:space="preserve">ddname</t>
  </si>
  <si>
    <t xml:space="preserve">evidence / detail</t>
  </si>
  <si>
    <t xml:space="preserve">PRECEDES</t>
  </si>
  <si>
    <t xml:space="preserve">Control-M: INTCALC waits for CLOSEFIL</t>
  </si>
  <si>
    <t xml:space="preserve">70</t>
  </si>
  <si>
    <t xml:space="preserve">Control-M: COMBTRAN waits for INTCALC</t>
  </si>
  <si>
    <t xml:space="preserve">76</t>
  </si>
  <si>
    <t xml:space="preserve">EXECUTES</t>
  </si>
  <si>
    <t xml:space="preserve">STEP15</t>
  </si>
  <si>
    <t xml:space="preserve">PARM='2022071800' (run date)</t>
  </si>
  <si>
    <t xml:space="preserve">22</t>
  </si>
  <si>
    <t xml:space="preserve">READS</t>
  </si>
  <si>
    <t xml:space="preserve">TCATBALF</t>
  </si>
  <si>
    <t xml:space="preserve">OPEN INPUT; sequential READ (drives the run)</t>
  </si>
  <si>
    <t xml:space="preserve">236, 326</t>
  </si>
  <si>
    <t xml:space="preserve">XREFFILE</t>
  </si>
  <si>
    <t xml:space="preserve">OPEN INPUT; random READ</t>
  </si>
  <si>
    <t xml:space="preserve">254, 394</t>
  </si>
  <si>
    <t xml:space="preserve">XREFFIL1</t>
  </si>
  <si>
    <t xml:space="preserve">READ ... KEY IS FD-XREF-ACCT-ID (alternate key) needs the AIX path DD</t>
  </si>
  <si>
    <t xml:space="preserve">38, 395</t>
  </si>
  <si>
    <t xml:space="preserve">OPEN INPUT; random READ. Business rule: if the group is not found (status '23'), reads again with key 'DEFAULT' (line 444).</t>
  </si>
  <si>
    <t xml:space="preserve">272, 416, 444</t>
  </si>
  <si>
    <t xml:space="preserve">Confirmed: fallback to DEFAULT disclosure group.</t>
  </si>
  <si>
    <t xml:space="preserve">UPDATES</t>
  </si>
  <si>
    <t xml:space="preserve">ACCTFILE</t>
  </si>
  <si>
    <t xml:space="preserve">OPEN I-O; READ then REWRITE (balance updated)</t>
  </si>
  <si>
    <t xml:space="preserve">291, 356, 373</t>
  </si>
  <si>
    <t xml:space="preserve">WRITES</t>
  </si>
  <si>
    <t xml:space="preserve">TRANSACT</t>
  </si>
  <si>
    <t xml:space="preserve">OPEN OUTPUT; WRITE interest transactions; LRECL=350</t>
  </si>
  <si>
    <t xml:space="preserve">309, 500</t>
  </si>
  <si>
    <t xml:space="preserve">CALLS</t>
  </si>
  <si>
    <t xml:space="preserve">Called only on error to force an abend (ABCODE 999)</t>
  </si>
  <si>
    <t xml:space="preserve">Keep; IBM LE abend routine, labeled SystemRoutine.</t>
  </si>
  <si>
    <t xml:space="preserve">INCLUDES</t>
  </si>
  <si>
    <t xml:space="preserve">COPY statement</t>
  </si>
  <si>
    <t xml:space="preserve">97</t>
  </si>
  <si>
    <t xml:space="preserve">102</t>
  </si>
  <si>
    <t xml:space="preserve">107</t>
  </si>
  <si>
    <t xml:space="preserve">112</t>
  </si>
  <si>
    <t xml:space="preserve">117</t>
  </si>
  <si>
    <t xml:space="preserve">DESCRIBES</t>
  </si>
  <si>
    <t xml:space="preserve">READ ... INTO TRAN-CAT-BAL-RECORD</t>
  </si>
  <si>
    <t xml:space="preserve">326</t>
  </si>
  <si>
    <t xml:space="preserve">READ ... INTO CARD-XREF-RECORD</t>
  </si>
  <si>
    <t xml:space="preserve">394</t>
  </si>
  <si>
    <t xml:space="preserve">READ ... INTO DIS-GROUP-RECORD</t>
  </si>
  <si>
    <t xml:space="preserve">416</t>
  </si>
  <si>
    <t xml:space="preserve">READ ... INTO ACCOUNT-RECORD</t>
  </si>
  <si>
    <t xml:space="preserve">373</t>
  </si>
  <si>
    <t xml:space="preserve">WRITE ... FROM TRAN-RECORD</t>
  </si>
  <si>
    <t xml:space="preserve">500</t>
  </si>
  <si>
    <t xml:space="preserve">Verification progress</t>
  </si>
  <si>
    <t xml:space="preserve">Sheet</t>
  </si>
  <si>
    <t xml:space="preserve">Rows</t>
  </si>
  <si>
    <t xml:space="preserve">Y (correct)</t>
  </si>
  <si>
    <t xml:space="preserve">N (wrong)</t>
  </si>
  <si>
    <t xml:space="preserve">? (unsure)</t>
  </si>
  <si>
    <t xml:space="preserve">Not checked</t>
  </si>
  <si>
    <t xml:space="preserve">% checked</t>
  </si>
  <si>
    <t xml:space="preserve">Nodes</t>
  </si>
  <si>
    <t xml:space="preserve">Relationships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</si>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</sst>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u val="single"/>
      <sz val="10"/>
      <color rgb="FF0563C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563C1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github.com/aws-samples/aws-mainframe-modernization-carddemo/blob/59cc6c2fd7ebd7ef7925cad552a01a4b8b6e4d5e/app/jcl/INTCALC.jcl" TargetMode="External"/><Relationship Id="rId2" Type="http://schemas.openxmlformats.org/officeDocument/2006/relationships/hyperlink" Target="https://github.com/aws-samples/aws-mainframe-modernization-carddemo/blob/59cc6c2fd7ebd7ef7925cad552a01a4b8b6e4d5e/app/scheduler/CardDemo.controlm" TargetMode="External"/><Relationship Id="rId3" Type="http://schemas.openxmlformats.org/officeDocument/2006/relationships/hyperlink" Target="https://github.com/aws-samples/aws-mainframe-modernization-carddemo/blob/59cc6c2fd7ebd7ef7925cad552a01a4b8b6e4d5e/app/scheduler/CardDemo.controlm" TargetMode="External"/><Relationship Id="rId4" Type="http://schemas.openxmlformats.org/officeDocument/2006/relationships/hyperlink" Target="https://github.com/aws-samples/aws-mainframe-modernization-carddemo/blob/59cc6c2fd7ebd7ef7925cad552a01a4b8b6e4d5e/app/cbl/CBACT04C.cbl" TargetMode="External"/><Relationship Id="rId5" Type="http://schemas.openxmlformats.org/officeDocument/2006/relationships/hyperlink" Target="https://github.com/aws-samples/aws-mainframe-modernization-carddemo/blob/59cc6c2fd7ebd7ef7925cad552a01a4b8b6e4d5e/app/cbl/CBACT04C.cbl" TargetMode="External"/><Relationship Id="rId6" Type="http://schemas.openxmlformats.org/officeDocument/2006/relationships/hyperlink" Target="https://github.com/aws-samples/aws-mainframe-modernization-carddemo/blob/59cc6c2fd7ebd7ef7925cad552a01a4b8b6e4d5e/app/jcl/INTCALC.jcl" TargetMode="External"/><Relationship Id="rId7" Type="http://schemas.openxmlformats.org/officeDocument/2006/relationships/hyperlink" Target="https://github.com/aws-samples/aws-mainframe-modernization-carddemo/blob/59cc6c2fd7ebd7ef7925cad552a01a4b8b6e4d5e/app/jcl/INTCALC.jcl" TargetMode="External"/><Relationship Id="rId8" Type="http://schemas.openxmlformats.org/officeDocument/2006/relationships/hyperlink" Target="https://github.com/aws-samples/aws-mainframe-modernization-carddemo/blob/59cc6c2fd7ebd7ef7925cad552a01a4b8b6e4d5e/app/jcl/INTCALC.jcl" TargetMode="External"/><Relationship Id="rId9" Type="http://schemas.openxmlformats.org/officeDocument/2006/relationships/hyperlink" Target="https://github.com/aws-samples/aws-mainframe-modernization-carddemo/blob/59cc6c2fd7ebd7ef7925cad552a01a4b8b6e4d5e/app/jcl/INTCALC.jcl" TargetMode="External"/><Relationship Id="rId10" Type="http://schemas.openxmlformats.org/officeDocument/2006/relationships/hyperlink" Target="https://github.com/aws-samples/aws-mainframe-modernization-carddemo/blob/59cc6c2fd7ebd7ef7925cad552a01a4b8b6e4d5e/app/jcl/INTCALC.jcl" TargetMode="External"/><Relationship Id="rId11" Type="http://schemas.openxmlformats.org/officeDocument/2006/relationships/hyperlink" Target="https://github.com/aws-samples/aws-mainframe-modernization-carddemo/blob/59cc6c2fd7ebd7ef7925cad552a01a4b8b6e4d5e/app/jcl/INTCALC.jcl" TargetMode="External"/><Relationship Id="rId12" Type="http://schemas.openxmlformats.org/officeDocument/2006/relationships/hyperlink" Target="https://github.com/aws-samples/aws-mainframe-modernization-carddemo/blob/59cc6c2fd7ebd7ef7925cad552a01a4b8b6e4d5e/app/cpy/CVTRA01Y.cpy" TargetMode="External"/><Relationship Id="rId13" Type="http://schemas.openxmlformats.org/officeDocument/2006/relationships/hyperlink" Target="https://github.com/aws-samples/aws-mainframe-modernization-carddemo/blob/59cc6c2fd7ebd7ef7925cad552a01a4b8b6e4d5e/app/cpy/CVACT03Y.cpy" TargetMode="External"/><Relationship Id="rId14" Type="http://schemas.openxmlformats.org/officeDocument/2006/relationships/hyperlink" Target="https://github.com/aws-samples/aws-mainframe-modernization-carddemo/blob/59cc6c2fd7ebd7ef7925cad552a01a4b8b6e4d5e/app/cpy/CVTRA02Y.cpy" TargetMode="External"/><Relationship Id="rId15" Type="http://schemas.openxmlformats.org/officeDocument/2006/relationships/hyperlink" Target="https://github.com/aws-samples/aws-mainframe-modernization-carddemo/blob/59cc6c2fd7ebd7ef7925cad552a01a4b8b6e4d5e/app/cpy/CVACT01Y.cpy" TargetMode="External"/><Relationship Id="rId16" Type="http://schemas.openxmlformats.org/officeDocument/2006/relationships/hyperlink" Target="https://github.com/aws-samples/aws-mainframe-modernization-carddemo/blob/59cc6c2fd7ebd7ef7925cad552a01a4b8b6e4d5e/app/cpy/CVTRA05Y.cpy" TargetMode="External"/><Relationship Id="rId17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github.com/aws-samples/aws-mainframe-modernization-carddemo/blob/59cc6c2fd7ebd7ef7925cad552a01a4b8b6e4d5e/app/scheduler/CardDemo.controlm" TargetMode="External"/><Relationship Id="rId2" Type="http://schemas.openxmlformats.org/officeDocument/2006/relationships/hyperlink" Target="https://github.com/aws-samples/aws-mainframe-modernization-carddemo/blob/59cc6c2fd7ebd7ef7925cad552a01a4b8b6e4d5e/app/scheduler/CardDemo.controlm" TargetMode="External"/><Relationship Id="rId3" Type="http://schemas.openxmlformats.org/officeDocument/2006/relationships/hyperlink" Target="https://github.com/aws-samples/aws-mainframe-modernization-carddemo/blob/59cc6c2fd7ebd7ef7925cad552a01a4b8b6e4d5e/app/jcl/INTCALC.jcl" TargetMode="External"/><Relationship Id="rId4" Type="http://schemas.openxmlformats.org/officeDocument/2006/relationships/hyperlink" Target="https://github.com/aws-samples/aws-mainframe-modernization-carddemo/blob/59cc6c2fd7ebd7ef7925cad552a01a4b8b6e4d5e/app/cbl/CBACT04C.cbl" TargetMode="External"/><Relationship Id="rId5" Type="http://schemas.openxmlformats.org/officeDocument/2006/relationships/hyperlink" Target="https://github.com/aws-samples/aws-mainframe-modernization-carddemo/blob/59cc6c2fd7ebd7ef7925cad552a01a4b8b6e4d5e/app/cbl/CBACT04C.cbl" TargetMode="External"/><Relationship Id="rId6" Type="http://schemas.openxmlformats.org/officeDocument/2006/relationships/hyperlink" Target="https://github.com/aws-samples/aws-mainframe-modernization-carddemo/blob/59cc6c2fd7ebd7ef7925cad552a01a4b8b6e4d5e/app/cbl/CBACT04C.cbl" TargetMode="External"/><Relationship Id="rId7" Type="http://schemas.openxmlformats.org/officeDocument/2006/relationships/hyperlink" Target="https://github.com/aws-samples/aws-mainframe-modernization-carddemo/blob/59cc6c2fd7ebd7ef7925cad552a01a4b8b6e4d5e/app/cbl/CBACT04C.cbl" TargetMode="External"/><Relationship Id="rId8" Type="http://schemas.openxmlformats.org/officeDocument/2006/relationships/hyperlink" Target="https://github.com/aws-samples/aws-mainframe-modernization-carddemo/blob/59cc6c2fd7ebd7ef7925cad552a01a4b8b6e4d5e/app/cbl/CBACT04C.cbl" TargetMode="External"/><Relationship Id="rId9" Type="http://schemas.openxmlformats.org/officeDocument/2006/relationships/hyperlink" Target="https://github.com/aws-samples/aws-mainframe-modernization-carddemo/blob/59cc6c2fd7ebd7ef7925cad552a01a4b8b6e4d5e/app/cbl/CBACT04C.cbl" TargetMode="External"/><Relationship Id="rId10" Type="http://schemas.openxmlformats.org/officeDocument/2006/relationships/hyperlink" Target="https://github.com/aws-samples/aws-mainframe-modernization-carddemo/blob/59cc6c2fd7ebd7ef7925cad552a01a4b8b6e4d5e/app/cbl/CBACT04C.cbl" TargetMode="External"/><Relationship Id="rId11" Type="http://schemas.openxmlformats.org/officeDocument/2006/relationships/hyperlink" Target="https://github.com/aws-samples/aws-mainframe-modernization-carddemo/blob/59cc6c2fd7ebd7ef7925cad552a01a4b8b6e4d5e/app/cbl/CBACT04C.cbl" TargetMode="External"/><Relationship Id="rId12" Type="http://schemas.openxmlformats.org/officeDocument/2006/relationships/hyperlink" Target="https://github.com/aws-samples/aws-mainframe-modernization-carddemo/blob/59cc6c2fd7ebd7ef7925cad552a01a4b8b6e4d5e/app/cbl/CBACT04C.cbl" TargetMode="External"/><Relationship Id="rId13" Type="http://schemas.openxmlformats.org/officeDocument/2006/relationships/hyperlink" Target="https://github.com/aws-samples/aws-mainframe-modernization-carddemo/blob/59cc6c2fd7ebd7ef7925cad552a01a4b8b6e4d5e/app/cbl/CBACT04C.cbl" TargetMode="External"/><Relationship Id="rId14" Type="http://schemas.openxmlformats.org/officeDocument/2006/relationships/hyperlink" Target="https://github.com/aws-samples/aws-mainframe-modernization-carddemo/blob/59cc6c2fd7ebd7ef7925cad552a01a4b8b6e4d5e/app/cbl/CBACT04C.cbl" TargetMode="External"/><Relationship Id="rId15" Type="http://schemas.openxmlformats.org/officeDocument/2006/relationships/hyperlink" Target="https://github.com/aws-samples/aws-mainframe-modernization-carddemo/blob/59cc6c2fd7ebd7ef7925cad552a01a4b8b6e4d5e/app/cbl/CBACT04C.cbl" TargetMode="External"/><Relationship Id="rId16" Type="http://schemas.openxmlformats.org/officeDocument/2006/relationships/hyperlink" Target="https://github.com/aws-samples/aws-mainframe-modernization-carddemo/blob/59cc6c2fd7ebd7ef7925cad552a01a4b8b6e4d5e/app/cbl/CBACT04C.cbl" TargetMode="External"/><Relationship Id="rId17" Type="http://schemas.openxmlformats.org/officeDocument/2006/relationships/hyperlink" Target="https://github.com/aws-samples/aws-mainframe-modernization-carddemo/blob/59cc6c2fd7ebd7ef7925cad552a01a4b8b6e4d5e/app/cbl/CBACT04C.cbl" TargetMode="External"/><Relationship Id="rId18" Type="http://schemas.openxmlformats.org/officeDocument/2006/relationships/hyperlink" Target="https://github.com/aws-samples/aws-mainframe-modernization-carddemo/blob/59cc6c2fd7ebd7ef7925cad552a01a4b8b6e4d5e/app/cbl/CBACT04C.cbl" TargetMode="External"/><Relationship Id="rId19" Type="http://schemas.openxmlformats.org/officeDocument/2006/relationships/hyperlink" Target="https://github.com/aws-samples/aws-mainframe-modernization-carddemo/blob/59cc6c2fd7ebd7ef7925cad552a01a4b8b6e4d5e/app/cbl/CBACT04C.cbl" TargetMode="External"/><Relationship Id="rId20" Type="http://schemas.openxmlformats.org/officeDocument/2006/relationships/hyperlink" Target="https://github.com/aws-samples/aws-mainframe-modernization-carddemo/blob/59cc6c2fd7ebd7ef7925cad552a01a4b8b6e4d5e/app/cbl/CBACT04C.cbl" TargetMode="External"/><Relationship Id="rId2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2"/>
  <sheetViews>
    <sheetView showFormulas="false" showGridLines="true" showRowColHeaders="true" showZeros="true" rightToLeft="false" tabSelected="false" showOutlineSymbols="true" defaultGridColor="true" view="normal" topLeftCell="A5" colorId="64" zoomScale="100" zoomScaleNormal="100" zoomScalePageLayoutView="100" workbookViewId="0">
      <selection pane="top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110"/>
  </cols>
  <sheetData>
    <row r="1" customFormat="false" ht="16.5" hidden="false" customHeight="true" outlineLevel="0" collapsed="false">
      <c r="A1" s="1" t="s">
        <v>0</v>
      </c>
    </row>
    <row r="2" customFormat="false" ht="14.25" hidden="false" customHeight="false" outlineLevel="0" collapsed="false">
      <c r="A2" s="2"/>
    </row>
    <row r="3" customFormat="false" ht="14.25" hidden="false" customHeight="false" outlineLevel="0" collapsed="false">
      <c r="A3" s="3" t="s">
        <v>1</v>
      </c>
    </row>
    <row r="4" customFormat="false" ht="26.25" hidden="false" customHeight="true" outlineLevel="0" collapsed="false">
      <c r="A4" s="2" t="s">
        <v>2</v>
      </c>
    </row>
    <row r="5" customFormat="false" ht="14.25" hidden="false" customHeight="false" outlineLevel="0" collapsed="false">
      <c r="A5" s="2"/>
    </row>
    <row r="6" customFormat="false" ht="14.25" hidden="false" customHeight="false" outlineLevel="0" collapsed="false">
      <c r="A6" s="3" t="s">
        <v>3</v>
      </c>
    </row>
    <row r="7" customFormat="false" ht="14.25" hidden="false" customHeight="false" outlineLevel="0" collapsed="false">
      <c r="A7" s="2" t="s">
        <v>4</v>
      </c>
    </row>
    <row r="8" customFormat="false" ht="26.25" hidden="false" customHeight="true" outlineLevel="0" collapsed="false">
      <c r="A8" s="2" t="s">
        <v>5</v>
      </c>
    </row>
    <row r="9" customFormat="false" ht="14.25" hidden="false" customHeight="false" outlineLevel="0" collapsed="false">
      <c r="A9" s="2" t="s">
        <v>6</v>
      </c>
    </row>
    <row r="10" customFormat="false" ht="14.25" hidden="false" customHeight="false" outlineLevel="0" collapsed="false">
      <c r="A10" s="2" t="s">
        <v>7</v>
      </c>
    </row>
    <row r="11" customFormat="false" ht="14.25" hidden="false" customHeight="false" outlineLevel="0" collapsed="false">
      <c r="A11" s="2" t="s">
        <v>8</v>
      </c>
    </row>
    <row r="12" customFormat="false" ht="14.25" hidden="false" customHeight="false" outlineLevel="0" collapsed="false">
      <c r="A12" s="2"/>
    </row>
    <row r="13" customFormat="false" ht="14.25" hidden="false" customHeight="false" outlineLevel="0" collapsed="false">
      <c r="A13" s="2" t="s">
        <v>9</v>
      </c>
    </row>
    <row r="14" customFormat="false" ht="14.25" hidden="false" customHeight="false" outlineLevel="0" collapsed="false">
      <c r="A14" s="2"/>
    </row>
    <row r="15" customFormat="false" ht="14.25" hidden="false" customHeight="false" outlineLevel="0" collapsed="false">
      <c r="A15" s="3" t="s">
        <v>10</v>
      </c>
    </row>
    <row r="16" customFormat="false" ht="26.25" hidden="false" customHeight="true" outlineLevel="0" collapsed="false">
      <c r="A16" s="2" t="s">
        <v>11</v>
      </c>
    </row>
    <row r="17" customFormat="false" ht="14.25" hidden="false" customHeight="false" outlineLevel="0" collapsed="false">
      <c r="A17" s="2"/>
    </row>
    <row r="18" customFormat="false" ht="14.25" hidden="false" customHeight="false" outlineLevel="0" collapsed="false">
      <c r="A18" s="3" t="s">
        <v>12</v>
      </c>
    </row>
    <row r="19" customFormat="false" ht="26.25" hidden="false" customHeight="true" outlineLevel="0" collapsed="false">
      <c r="A19" s="2" t="s">
        <v>13</v>
      </c>
    </row>
    <row r="20" customFormat="false" ht="14.25" hidden="false" customHeight="false" outlineLevel="0" collapsed="false">
      <c r="A20" s="2" t="s">
        <v>14</v>
      </c>
    </row>
    <row r="21" customFormat="false" ht="14.25" hidden="false" customHeight="false" outlineLevel="0" collapsed="false">
      <c r="A21" s="2" t="s">
        <v>15</v>
      </c>
    </row>
    <row r="22" customFormat="false" ht="14.25" hidden="false" customHeight="false" outlineLevel="0" collapsed="false">
      <c r="A22" s="2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E12" activeCellId="0" sqref="E12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1"/>
    <col collapsed="false" customWidth="true" hidden="false" outlineLevel="0" max="3" min="3" style="0" width="40"/>
    <col collapsed="false" customWidth="true" hidden="false" outlineLevel="0" max="4" min="4" style="0" width="48"/>
    <col collapsed="false" customWidth="true" hidden="false" outlineLevel="0" max="5" min="5" style="0" width="26"/>
    <col collapsed="false" customWidth="true" hidden="false" outlineLevel="0" max="6" min="6" style="0" width="9"/>
    <col collapsed="false" customWidth="true" hidden="false" outlineLevel="0" max="7" min="7" style="0" width="10"/>
    <col collapsed="false" customWidth="true" hidden="false" outlineLevel="0" max="8" min="8" style="0" width="36"/>
  </cols>
  <sheetData>
    <row r="1" customFormat="false" ht="14.25" hidden="false" customHeight="false" outlineLevel="0" collapsed="false">
      <c r="A1" s="4" t="s">
        <v>17</v>
      </c>
      <c r="B1" s="4" t="s">
        <v>18</v>
      </c>
      <c r="C1" s="4" t="s">
        <v>19</v>
      </c>
      <c r="D1" s="4" t="s">
        <v>20</v>
      </c>
      <c r="E1" s="4" t="s">
        <v>21</v>
      </c>
      <c r="F1" s="4" t="s">
        <v>22</v>
      </c>
      <c r="G1" s="4" t="s">
        <v>23</v>
      </c>
      <c r="H1" s="4" t="s">
        <v>24</v>
      </c>
    </row>
    <row r="2" customFormat="false" ht="14.25" hidden="false" customHeight="false" outlineLevel="0" collapsed="false">
      <c r="A2" s="5" t="s">
        <v>25</v>
      </c>
      <c r="B2" s="5" t="s">
        <v>26</v>
      </c>
      <c r="C2" s="5" t="s">
        <v>25</v>
      </c>
      <c r="D2" s="5" t="s">
        <v>27</v>
      </c>
      <c r="E2" s="6" t="s">
        <v>28</v>
      </c>
      <c r="F2" s="5" t="s">
        <v>29</v>
      </c>
      <c r="G2" s="7" t="s">
        <v>30</v>
      </c>
      <c r="H2" s="7"/>
    </row>
    <row r="3" customFormat="false" ht="26.25" hidden="false" customHeight="true" outlineLevel="0" collapsed="false">
      <c r="A3" s="5" t="s">
        <v>31</v>
      </c>
      <c r="B3" s="5" t="s">
        <v>26</v>
      </c>
      <c r="C3" s="5" t="s">
        <v>31</v>
      </c>
      <c r="D3" s="5" t="s">
        <v>32</v>
      </c>
      <c r="E3" s="6" t="s">
        <v>33</v>
      </c>
      <c r="F3" s="5" t="s">
        <v>34</v>
      </c>
      <c r="G3" s="7" t="s">
        <v>30</v>
      </c>
      <c r="H3" s="7"/>
    </row>
    <row r="4" customFormat="false" ht="26.25" hidden="false" customHeight="true" outlineLevel="0" collapsed="false">
      <c r="A4" s="5" t="s">
        <v>35</v>
      </c>
      <c r="B4" s="5" t="s">
        <v>26</v>
      </c>
      <c r="C4" s="5" t="s">
        <v>35</v>
      </c>
      <c r="D4" s="5" t="s">
        <v>36</v>
      </c>
      <c r="E4" s="6" t="s">
        <v>33</v>
      </c>
      <c r="F4" s="5" t="s">
        <v>37</v>
      </c>
      <c r="G4" s="7" t="s">
        <v>30</v>
      </c>
      <c r="H4" s="7"/>
    </row>
    <row r="5" customFormat="false" ht="26.25" hidden="false" customHeight="true" outlineLevel="0" collapsed="false">
      <c r="A5" s="5" t="s">
        <v>38</v>
      </c>
      <c r="B5" s="5" t="s">
        <v>39</v>
      </c>
      <c r="C5" s="5" t="s">
        <v>38</v>
      </c>
      <c r="D5" s="5" t="s">
        <v>40</v>
      </c>
      <c r="E5" s="6" t="s">
        <v>41</v>
      </c>
      <c r="F5" s="5" t="s">
        <v>29</v>
      </c>
      <c r="G5" s="7" t="s">
        <v>30</v>
      </c>
      <c r="H5" s="7"/>
    </row>
    <row r="6" customFormat="false" ht="26.25" hidden="false" customHeight="true" outlineLevel="0" collapsed="false">
      <c r="A6" s="5" t="s">
        <v>42</v>
      </c>
      <c r="B6" s="5" t="s">
        <v>43</v>
      </c>
      <c r="C6" s="5" t="s">
        <v>42</v>
      </c>
      <c r="D6" s="5" t="s">
        <v>44</v>
      </c>
      <c r="E6" s="6" t="s">
        <v>41</v>
      </c>
      <c r="F6" s="5" t="s">
        <v>45</v>
      </c>
      <c r="G6" s="7" t="s">
        <v>30</v>
      </c>
      <c r="H6" s="7"/>
    </row>
    <row r="7" customFormat="false" ht="26.25" hidden="false" customHeight="true" outlineLevel="0" collapsed="false">
      <c r="A7" s="5" t="s">
        <v>46</v>
      </c>
      <c r="B7" s="5" t="s">
        <v>47</v>
      </c>
      <c r="C7" s="5" t="s">
        <v>48</v>
      </c>
      <c r="D7" s="5" t="s">
        <v>49</v>
      </c>
      <c r="E7" s="6" t="s">
        <v>28</v>
      </c>
      <c r="F7" s="5" t="s">
        <v>50</v>
      </c>
      <c r="G7" s="7" t="s">
        <v>30</v>
      </c>
      <c r="H7" s="7"/>
    </row>
    <row r="8" customFormat="false" ht="26.25" hidden="false" customHeight="true" outlineLevel="0" collapsed="false">
      <c r="A8" s="5" t="s">
        <v>51</v>
      </c>
      <c r="B8" s="5" t="s">
        <v>47</v>
      </c>
      <c r="C8" s="5" t="s">
        <v>52</v>
      </c>
      <c r="D8" s="5" t="s">
        <v>53</v>
      </c>
      <c r="E8" s="6" t="s">
        <v>28</v>
      </c>
      <c r="F8" s="5" t="s">
        <v>54</v>
      </c>
      <c r="G8" s="7" t="s">
        <v>30</v>
      </c>
      <c r="H8" s="7"/>
    </row>
    <row r="9" customFormat="false" ht="26.25" hidden="false" customHeight="true" outlineLevel="0" collapsed="false">
      <c r="A9" s="5" t="s">
        <v>55</v>
      </c>
      <c r="B9" s="5" t="s">
        <v>47</v>
      </c>
      <c r="C9" s="5" t="s">
        <v>56</v>
      </c>
      <c r="D9" s="5" t="s">
        <v>57</v>
      </c>
      <c r="E9" s="6" t="s">
        <v>28</v>
      </c>
      <c r="F9" s="5" t="s">
        <v>58</v>
      </c>
      <c r="G9" s="7" t="s">
        <v>30</v>
      </c>
      <c r="H9" s="7"/>
    </row>
    <row r="10" customFormat="false" ht="26.25" hidden="false" customHeight="true" outlineLevel="0" collapsed="false">
      <c r="A10" s="5" t="s">
        <v>59</v>
      </c>
      <c r="B10" s="5" t="s">
        <v>47</v>
      </c>
      <c r="C10" s="5" t="s">
        <v>60</v>
      </c>
      <c r="D10" s="5" t="s">
        <v>61</v>
      </c>
      <c r="E10" s="6" t="s">
        <v>28</v>
      </c>
      <c r="F10" s="5" t="s">
        <v>62</v>
      </c>
      <c r="G10" s="7" t="s">
        <v>30</v>
      </c>
      <c r="H10" s="7"/>
    </row>
    <row r="11" customFormat="false" ht="26.25" hidden="false" customHeight="true" outlineLevel="0" collapsed="false">
      <c r="A11" s="5" t="s">
        <v>63</v>
      </c>
      <c r="B11" s="5" t="s">
        <v>47</v>
      </c>
      <c r="C11" s="5" t="s">
        <v>64</v>
      </c>
      <c r="D11" s="5" t="s">
        <v>65</v>
      </c>
      <c r="E11" s="6" t="s">
        <v>28</v>
      </c>
      <c r="F11" s="5" t="s">
        <v>66</v>
      </c>
      <c r="G11" s="7" t="s">
        <v>30</v>
      </c>
      <c r="H11" s="7"/>
    </row>
    <row r="12" customFormat="false" ht="26.25" hidden="false" customHeight="true" outlineLevel="0" collapsed="false">
      <c r="A12" s="5" t="s">
        <v>67</v>
      </c>
      <c r="B12" s="5" t="s">
        <v>47</v>
      </c>
      <c r="C12" s="5" t="s">
        <v>68</v>
      </c>
      <c r="D12" s="5" t="s">
        <v>69</v>
      </c>
      <c r="E12" s="6" t="s">
        <v>28</v>
      </c>
      <c r="F12" s="5" t="s">
        <v>70</v>
      </c>
      <c r="G12" s="7" t="s">
        <v>30</v>
      </c>
      <c r="H12" s="7" t="s">
        <v>71</v>
      </c>
    </row>
    <row r="13" customFormat="false" ht="14.25" hidden="false" customHeight="false" outlineLevel="0" collapsed="false">
      <c r="A13" s="5" t="s">
        <v>72</v>
      </c>
      <c r="B13" s="5" t="s">
        <v>73</v>
      </c>
      <c r="C13" s="5" t="s">
        <v>72</v>
      </c>
      <c r="D13" s="5" t="s">
        <v>74</v>
      </c>
      <c r="E13" s="6" t="s">
        <v>75</v>
      </c>
      <c r="F13" s="5" t="s">
        <v>29</v>
      </c>
      <c r="G13" s="7" t="s">
        <v>30</v>
      </c>
      <c r="H13" s="7"/>
    </row>
    <row r="14" customFormat="false" ht="14.25" hidden="false" customHeight="false" outlineLevel="0" collapsed="false">
      <c r="A14" s="5" t="s">
        <v>76</v>
      </c>
      <c r="B14" s="5" t="s">
        <v>73</v>
      </c>
      <c r="C14" s="5" t="s">
        <v>76</v>
      </c>
      <c r="D14" s="5" t="s">
        <v>77</v>
      </c>
      <c r="E14" s="6" t="s">
        <v>78</v>
      </c>
      <c r="F14" s="5" t="s">
        <v>29</v>
      </c>
      <c r="G14" s="7" t="s">
        <v>30</v>
      </c>
      <c r="H14" s="7"/>
    </row>
    <row r="15" customFormat="false" ht="14.25" hidden="false" customHeight="false" outlineLevel="0" collapsed="false">
      <c r="A15" s="5" t="s">
        <v>79</v>
      </c>
      <c r="B15" s="5" t="s">
        <v>73</v>
      </c>
      <c r="C15" s="5" t="s">
        <v>79</v>
      </c>
      <c r="D15" s="5" t="s">
        <v>80</v>
      </c>
      <c r="E15" s="6" t="s">
        <v>81</v>
      </c>
      <c r="F15" s="5" t="s">
        <v>29</v>
      </c>
      <c r="G15" s="7" t="s">
        <v>30</v>
      </c>
      <c r="H15" s="7"/>
    </row>
    <row r="16" customFormat="false" ht="14.25" hidden="false" customHeight="false" outlineLevel="0" collapsed="false">
      <c r="A16" s="5" t="s">
        <v>82</v>
      </c>
      <c r="B16" s="5" t="s">
        <v>73</v>
      </c>
      <c r="C16" s="5" t="s">
        <v>82</v>
      </c>
      <c r="D16" s="5" t="s">
        <v>83</v>
      </c>
      <c r="E16" s="6" t="s">
        <v>84</v>
      </c>
      <c r="F16" s="5" t="s">
        <v>29</v>
      </c>
      <c r="G16" s="7" t="s">
        <v>30</v>
      </c>
      <c r="H16" s="7"/>
    </row>
    <row r="17" customFormat="false" ht="14.25" hidden="false" customHeight="false" outlineLevel="0" collapsed="false">
      <c r="A17" s="5" t="s">
        <v>85</v>
      </c>
      <c r="B17" s="5" t="s">
        <v>73</v>
      </c>
      <c r="C17" s="5" t="s">
        <v>85</v>
      </c>
      <c r="D17" s="5" t="s">
        <v>86</v>
      </c>
      <c r="E17" s="6" t="s">
        <v>87</v>
      </c>
      <c r="F17" s="5" t="s">
        <v>29</v>
      </c>
      <c r="G17" s="7" t="s">
        <v>30</v>
      </c>
      <c r="H17" s="7"/>
    </row>
  </sheetData>
  <autoFilter ref="A1:H17"/>
  <dataValidations count="1">
    <dataValidation allowBlank="true" errorStyle="stop" operator="between" showDropDown="false" showErrorMessage="false" showInputMessage="false" sqref="G2:G17" type="list">
      <formula1>"Y,N,?"</formula1>
      <formula2>0</formula2>
    </dataValidation>
  </dataValidations>
  <hyperlinks>
    <hyperlink ref="E2" r:id="rId1" location="L1" display="jcl/INTCALC.jcl"/>
    <hyperlink ref="E3" r:id="rId2" location="L63" display="scheduler/CardDemo.controlm"/>
    <hyperlink ref="E4" r:id="rId3" location="L75" display="scheduler/CardDemo.controlm"/>
    <hyperlink ref="E5" r:id="rId4" location="L1" display="cbl/CBACT04C.cbl"/>
    <hyperlink ref="E6" r:id="rId5" location="L632" display="cbl/CBACT04C.cbl"/>
    <hyperlink ref="E7" r:id="rId6" location="L28" display="jcl/INTCALC.jcl"/>
    <hyperlink ref="E8" r:id="rId7" location="L30" display="jcl/INTCALC.jcl"/>
    <hyperlink ref="E9" r:id="rId8" location="L32" display="jcl/INTCALC.jcl"/>
    <hyperlink ref="E10" r:id="rId9" location="L34" display="jcl/INTCALC.jcl"/>
    <hyperlink ref="E11" r:id="rId10" location="L36" display="jcl/INTCALC.jcl"/>
    <hyperlink ref="E12" r:id="rId11" location="L41" display="jcl/INTCALC.jcl"/>
    <hyperlink ref="E13" r:id="rId12" location="L1" display="cpy/CVTRA01Y.cpy"/>
    <hyperlink ref="E14" r:id="rId13" location="L1" display="cpy/CVACT03Y.cpy"/>
    <hyperlink ref="E15" r:id="rId14" location="L1" display="cpy/CVTRA02Y.cpy"/>
    <hyperlink ref="E16" r:id="rId15" location="L1" display="cpy/CVACT01Y.cpy"/>
    <hyperlink ref="E17" r:id="rId16" location="L1" display="cpy/CVTRA05Y.cpy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7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8" activePane="bottomLeft" state="frozen"/>
      <selection pane="topLeft" activeCell="A1" activeCellId="0" sqref="A1"/>
      <selection pane="bottomLeft" activeCell="E12" activeCellId="0" sqref="E12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1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50"/>
    <col collapsed="false" customWidth="true" hidden="false" outlineLevel="0" max="6" min="6" style="0" width="26"/>
    <col collapsed="false" customWidth="true" hidden="false" outlineLevel="0" max="7" min="7" style="0" width="13"/>
    <col collapsed="false" customWidth="true" hidden="false" outlineLevel="0" max="8" min="8" style="0" width="10"/>
    <col collapsed="false" customWidth="true" hidden="false" outlineLevel="0" max="9" min="9" style="0" width="36"/>
  </cols>
  <sheetData>
    <row r="1" customFormat="false" ht="14.25" hidden="false" customHeight="false" outlineLevel="0" collapsed="false">
      <c r="A1" s="4" t="s">
        <v>88</v>
      </c>
      <c r="B1" s="4" t="s">
        <v>89</v>
      </c>
      <c r="C1" s="4" t="s">
        <v>90</v>
      </c>
      <c r="D1" s="4" t="s">
        <v>91</v>
      </c>
      <c r="E1" s="4" t="s">
        <v>92</v>
      </c>
      <c r="F1" s="4" t="s">
        <v>21</v>
      </c>
      <c r="G1" s="4" t="s">
        <v>22</v>
      </c>
      <c r="H1" s="4" t="s">
        <v>23</v>
      </c>
      <c r="I1" s="4" t="s">
        <v>24</v>
      </c>
    </row>
    <row r="2" customFormat="false" ht="26.25" hidden="false" customHeight="true" outlineLevel="0" collapsed="false">
      <c r="A2" s="5" t="s">
        <v>31</v>
      </c>
      <c r="B2" s="5" t="s">
        <v>93</v>
      </c>
      <c r="C2" s="5" t="s">
        <v>25</v>
      </c>
      <c r="D2" s="5"/>
      <c r="E2" s="5" t="s">
        <v>94</v>
      </c>
      <c r="F2" s="6" t="s">
        <v>33</v>
      </c>
      <c r="G2" s="5" t="s">
        <v>95</v>
      </c>
      <c r="H2" s="7" t="s">
        <v>30</v>
      </c>
      <c r="I2" s="7"/>
    </row>
    <row r="3" customFormat="false" ht="26.25" hidden="false" customHeight="true" outlineLevel="0" collapsed="false">
      <c r="A3" s="5" t="s">
        <v>25</v>
      </c>
      <c r="B3" s="5" t="s">
        <v>93</v>
      </c>
      <c r="C3" s="5" t="s">
        <v>35</v>
      </c>
      <c r="D3" s="5"/>
      <c r="E3" s="5" t="s">
        <v>96</v>
      </c>
      <c r="F3" s="6" t="s">
        <v>33</v>
      </c>
      <c r="G3" s="5" t="s">
        <v>97</v>
      </c>
      <c r="H3" s="7" t="s">
        <v>30</v>
      </c>
      <c r="I3" s="7"/>
    </row>
    <row r="4" customFormat="false" ht="14.25" hidden="false" customHeight="false" outlineLevel="0" collapsed="false">
      <c r="A4" s="5" t="s">
        <v>25</v>
      </c>
      <c r="B4" s="5" t="s">
        <v>98</v>
      </c>
      <c r="C4" s="5" t="s">
        <v>38</v>
      </c>
      <c r="D4" s="5" t="s">
        <v>99</v>
      </c>
      <c r="E4" s="5" t="s">
        <v>100</v>
      </c>
      <c r="F4" s="6" t="s">
        <v>28</v>
      </c>
      <c r="G4" s="5" t="s">
        <v>101</v>
      </c>
      <c r="H4" s="7" t="s">
        <v>30</v>
      </c>
      <c r="I4" s="7"/>
    </row>
    <row r="5" customFormat="false" ht="26.25" hidden="false" customHeight="true" outlineLevel="0" collapsed="false">
      <c r="A5" s="5" t="s">
        <v>38</v>
      </c>
      <c r="B5" s="5" t="s">
        <v>102</v>
      </c>
      <c r="C5" s="5" t="s">
        <v>46</v>
      </c>
      <c r="D5" s="5" t="s">
        <v>103</v>
      </c>
      <c r="E5" s="5" t="s">
        <v>104</v>
      </c>
      <c r="F5" s="6" t="s">
        <v>41</v>
      </c>
      <c r="G5" s="5" t="s">
        <v>105</v>
      </c>
      <c r="H5" s="7" t="s">
        <v>30</v>
      </c>
      <c r="I5" s="7"/>
    </row>
    <row r="6" customFormat="false" ht="14.25" hidden="false" customHeight="false" outlineLevel="0" collapsed="false">
      <c r="A6" s="5" t="s">
        <v>38</v>
      </c>
      <c r="B6" s="5" t="s">
        <v>102</v>
      </c>
      <c r="C6" s="5" t="s">
        <v>51</v>
      </c>
      <c r="D6" s="5" t="s">
        <v>106</v>
      </c>
      <c r="E6" s="5" t="s">
        <v>107</v>
      </c>
      <c r="F6" s="6" t="s">
        <v>41</v>
      </c>
      <c r="G6" s="5" t="s">
        <v>108</v>
      </c>
      <c r="H6" s="7" t="s">
        <v>30</v>
      </c>
      <c r="I6" s="7"/>
    </row>
    <row r="7" customFormat="false" ht="26.25" hidden="false" customHeight="true" outlineLevel="0" collapsed="false">
      <c r="A7" s="5" t="s">
        <v>38</v>
      </c>
      <c r="B7" s="5" t="s">
        <v>102</v>
      </c>
      <c r="C7" s="5" t="s">
        <v>55</v>
      </c>
      <c r="D7" s="5" t="s">
        <v>109</v>
      </c>
      <c r="E7" s="5" t="s">
        <v>110</v>
      </c>
      <c r="F7" s="6" t="s">
        <v>41</v>
      </c>
      <c r="G7" s="5" t="s">
        <v>111</v>
      </c>
      <c r="H7" s="7" t="s">
        <v>30</v>
      </c>
      <c r="I7" s="7"/>
    </row>
    <row r="8" customFormat="false" ht="26.25" hidden="false" customHeight="true" outlineLevel="0" collapsed="false">
      <c r="A8" s="5" t="s">
        <v>38</v>
      </c>
      <c r="B8" s="5" t="s">
        <v>102</v>
      </c>
      <c r="C8" s="5" t="s">
        <v>63</v>
      </c>
      <c r="D8" s="5" t="s">
        <v>63</v>
      </c>
      <c r="E8" s="5" t="s">
        <v>112</v>
      </c>
      <c r="F8" s="6" t="s">
        <v>41</v>
      </c>
      <c r="G8" s="5" t="s">
        <v>113</v>
      </c>
      <c r="H8" s="7" t="s">
        <v>30</v>
      </c>
      <c r="I8" s="7" t="s">
        <v>114</v>
      </c>
    </row>
    <row r="9" customFormat="false" ht="14.25" hidden="false" customHeight="false" outlineLevel="0" collapsed="false">
      <c r="A9" s="5" t="s">
        <v>38</v>
      </c>
      <c r="B9" s="5" t="s">
        <v>115</v>
      </c>
      <c r="C9" s="5" t="s">
        <v>59</v>
      </c>
      <c r="D9" s="5" t="s">
        <v>116</v>
      </c>
      <c r="E9" s="5" t="s">
        <v>117</v>
      </c>
      <c r="F9" s="6" t="s">
        <v>41</v>
      </c>
      <c r="G9" s="5" t="s">
        <v>118</v>
      </c>
      <c r="H9" s="7" t="s">
        <v>30</v>
      </c>
      <c r="I9" s="7"/>
    </row>
    <row r="10" customFormat="false" ht="26.25" hidden="false" customHeight="true" outlineLevel="0" collapsed="false">
      <c r="A10" s="5" t="s">
        <v>38</v>
      </c>
      <c r="B10" s="5" t="s">
        <v>119</v>
      </c>
      <c r="C10" s="5" t="s">
        <v>67</v>
      </c>
      <c r="D10" s="5" t="s">
        <v>120</v>
      </c>
      <c r="E10" s="5" t="s">
        <v>121</v>
      </c>
      <c r="F10" s="6" t="s">
        <v>41</v>
      </c>
      <c r="G10" s="5" t="s">
        <v>122</v>
      </c>
      <c r="H10" s="7" t="s">
        <v>30</v>
      </c>
      <c r="I10" s="7"/>
    </row>
    <row r="11" customFormat="false" ht="23.85" hidden="false" customHeight="false" outlineLevel="0" collapsed="false">
      <c r="A11" s="5" t="s">
        <v>38</v>
      </c>
      <c r="B11" s="5" t="s">
        <v>123</v>
      </c>
      <c r="C11" s="5" t="s">
        <v>42</v>
      </c>
      <c r="D11" s="5"/>
      <c r="E11" s="5" t="s">
        <v>124</v>
      </c>
      <c r="F11" s="6" t="s">
        <v>41</v>
      </c>
      <c r="G11" s="5" t="s">
        <v>45</v>
      </c>
      <c r="H11" s="7" t="s">
        <v>30</v>
      </c>
      <c r="I11" s="7" t="s">
        <v>125</v>
      </c>
    </row>
    <row r="12" customFormat="false" ht="14.25" hidden="false" customHeight="false" outlineLevel="0" collapsed="false">
      <c r="A12" s="5" t="s">
        <v>38</v>
      </c>
      <c r="B12" s="5" t="s">
        <v>126</v>
      </c>
      <c r="C12" s="5" t="s">
        <v>72</v>
      </c>
      <c r="D12" s="5"/>
      <c r="E12" s="5" t="s">
        <v>127</v>
      </c>
      <c r="F12" s="6" t="s">
        <v>41</v>
      </c>
      <c r="G12" s="5" t="s">
        <v>128</v>
      </c>
      <c r="H12" s="7" t="s">
        <v>30</v>
      </c>
      <c r="I12" s="7"/>
    </row>
    <row r="13" customFormat="false" ht="14.25" hidden="false" customHeight="false" outlineLevel="0" collapsed="false">
      <c r="A13" s="5" t="s">
        <v>38</v>
      </c>
      <c r="B13" s="5" t="s">
        <v>126</v>
      </c>
      <c r="C13" s="5" t="s">
        <v>76</v>
      </c>
      <c r="D13" s="5"/>
      <c r="E13" s="5" t="s">
        <v>127</v>
      </c>
      <c r="F13" s="6" t="s">
        <v>41</v>
      </c>
      <c r="G13" s="5" t="s">
        <v>129</v>
      </c>
      <c r="H13" s="7" t="s">
        <v>30</v>
      </c>
      <c r="I13" s="7"/>
    </row>
    <row r="14" customFormat="false" ht="14.25" hidden="false" customHeight="false" outlineLevel="0" collapsed="false">
      <c r="A14" s="5" t="s">
        <v>38</v>
      </c>
      <c r="B14" s="5" t="s">
        <v>126</v>
      </c>
      <c r="C14" s="5" t="s">
        <v>79</v>
      </c>
      <c r="D14" s="5"/>
      <c r="E14" s="5" t="s">
        <v>127</v>
      </c>
      <c r="F14" s="6" t="s">
        <v>41</v>
      </c>
      <c r="G14" s="5" t="s">
        <v>130</v>
      </c>
      <c r="H14" s="7" t="s">
        <v>30</v>
      </c>
      <c r="I14" s="7"/>
    </row>
    <row r="15" customFormat="false" ht="14.25" hidden="false" customHeight="false" outlineLevel="0" collapsed="false">
      <c r="A15" s="5" t="s">
        <v>38</v>
      </c>
      <c r="B15" s="5" t="s">
        <v>126</v>
      </c>
      <c r="C15" s="5" t="s">
        <v>82</v>
      </c>
      <c r="D15" s="5"/>
      <c r="E15" s="5" t="s">
        <v>127</v>
      </c>
      <c r="F15" s="6" t="s">
        <v>41</v>
      </c>
      <c r="G15" s="5" t="s">
        <v>131</v>
      </c>
      <c r="H15" s="7" t="s">
        <v>30</v>
      </c>
      <c r="I15" s="7"/>
    </row>
    <row r="16" customFormat="false" ht="14.25" hidden="false" customHeight="false" outlineLevel="0" collapsed="false">
      <c r="A16" s="5" t="s">
        <v>38</v>
      </c>
      <c r="B16" s="5" t="s">
        <v>126</v>
      </c>
      <c r="C16" s="5" t="s">
        <v>85</v>
      </c>
      <c r="D16" s="5"/>
      <c r="E16" s="5" t="s">
        <v>127</v>
      </c>
      <c r="F16" s="6" t="s">
        <v>41</v>
      </c>
      <c r="G16" s="5" t="s">
        <v>132</v>
      </c>
      <c r="H16" s="7" t="s">
        <v>30</v>
      </c>
      <c r="I16" s="7"/>
    </row>
    <row r="17" customFormat="false" ht="26.25" hidden="false" customHeight="true" outlineLevel="0" collapsed="false">
      <c r="A17" s="5" t="s">
        <v>72</v>
      </c>
      <c r="B17" s="5" t="s">
        <v>133</v>
      </c>
      <c r="C17" s="5" t="s">
        <v>46</v>
      </c>
      <c r="D17" s="5"/>
      <c r="E17" s="5" t="s">
        <v>134</v>
      </c>
      <c r="F17" s="6" t="s">
        <v>41</v>
      </c>
      <c r="G17" s="5" t="s">
        <v>135</v>
      </c>
      <c r="H17" s="7" t="s">
        <v>30</v>
      </c>
      <c r="I17" s="7"/>
    </row>
    <row r="18" customFormat="false" ht="26.25" hidden="false" customHeight="true" outlineLevel="0" collapsed="false">
      <c r="A18" s="5" t="s">
        <v>76</v>
      </c>
      <c r="B18" s="5" t="s">
        <v>133</v>
      </c>
      <c r="C18" s="5" t="s">
        <v>51</v>
      </c>
      <c r="D18" s="5"/>
      <c r="E18" s="5" t="s">
        <v>136</v>
      </c>
      <c r="F18" s="6" t="s">
        <v>41</v>
      </c>
      <c r="G18" s="5" t="s">
        <v>137</v>
      </c>
      <c r="H18" s="7" t="s">
        <v>30</v>
      </c>
      <c r="I18" s="7"/>
    </row>
    <row r="19" customFormat="false" ht="26.25" hidden="false" customHeight="true" outlineLevel="0" collapsed="false">
      <c r="A19" s="5" t="s">
        <v>79</v>
      </c>
      <c r="B19" s="5" t="s">
        <v>133</v>
      </c>
      <c r="C19" s="5" t="s">
        <v>63</v>
      </c>
      <c r="D19" s="5"/>
      <c r="E19" s="5" t="s">
        <v>138</v>
      </c>
      <c r="F19" s="6" t="s">
        <v>41</v>
      </c>
      <c r="G19" s="5" t="s">
        <v>139</v>
      </c>
      <c r="H19" s="7" t="s">
        <v>30</v>
      </c>
    </row>
    <row r="20" customFormat="false" ht="26.25" hidden="false" customHeight="true" outlineLevel="0" collapsed="false">
      <c r="A20" s="5" t="s">
        <v>82</v>
      </c>
      <c r="B20" s="5" t="s">
        <v>133</v>
      </c>
      <c r="C20" s="5" t="s">
        <v>59</v>
      </c>
      <c r="D20" s="5"/>
      <c r="E20" s="5" t="s">
        <v>140</v>
      </c>
      <c r="F20" s="6" t="s">
        <v>41</v>
      </c>
      <c r="G20" s="5" t="s">
        <v>141</v>
      </c>
      <c r="H20" s="7" t="s">
        <v>30</v>
      </c>
      <c r="I20" s="7"/>
    </row>
    <row r="21" customFormat="false" ht="26.25" hidden="false" customHeight="true" outlineLevel="0" collapsed="false">
      <c r="A21" s="5" t="s">
        <v>85</v>
      </c>
      <c r="B21" s="5" t="s">
        <v>133</v>
      </c>
      <c r="C21" s="5" t="s">
        <v>67</v>
      </c>
      <c r="D21" s="5"/>
      <c r="E21" s="5" t="s">
        <v>142</v>
      </c>
      <c r="F21" s="6" t="s">
        <v>41</v>
      </c>
      <c r="G21" s="5" t="s">
        <v>143</v>
      </c>
      <c r="H21" s="7" t="s">
        <v>30</v>
      </c>
      <c r="I21" s="7"/>
    </row>
  </sheetData>
  <autoFilter ref="A1:I21"/>
  <dataValidations count="1">
    <dataValidation allowBlank="true" errorStyle="stop" operator="between" showDropDown="false" showErrorMessage="false" showInputMessage="false" sqref="H2:H21" type="list">
      <formula1>"Y,N,?"</formula1>
      <formula2>0</formula2>
    </dataValidation>
  </dataValidations>
  <hyperlinks>
    <hyperlink ref="F2" r:id="rId1" location="L70" display="scheduler/CardDemo.controlm"/>
    <hyperlink ref="F3" r:id="rId2" location="L76" display="scheduler/CardDemo.controlm"/>
    <hyperlink ref="F4" r:id="rId3" location="L22" display="jcl/INTCALC.jcl"/>
    <hyperlink ref="F5" r:id="rId4" location="L236" display="cbl/CBACT04C.cbl"/>
    <hyperlink ref="F6" r:id="rId5" location="L254" display="cbl/CBACT04C.cbl"/>
    <hyperlink ref="F7" r:id="rId6" location="L38" display="cbl/CBACT04C.cbl"/>
    <hyperlink ref="F8" r:id="rId7" location="L272" display="cbl/CBACT04C.cbl"/>
    <hyperlink ref="F9" r:id="rId8" location="L291" display="cbl/CBACT04C.cbl"/>
    <hyperlink ref="F10" r:id="rId9" location="L309" display="cbl/CBACT04C.cbl"/>
    <hyperlink ref="F11" r:id="rId10" location="L632" display="cbl/CBACT04C.cbl"/>
    <hyperlink ref="F12" r:id="rId11" location="L97" display="cbl/CBACT04C.cbl"/>
    <hyperlink ref="F13" r:id="rId12" location="L102" display="cbl/CBACT04C.cbl"/>
    <hyperlink ref="F14" r:id="rId13" location="L107" display="cbl/CBACT04C.cbl"/>
    <hyperlink ref="F15" r:id="rId14" location="L112" display="cbl/CBACT04C.cbl"/>
    <hyperlink ref="F16" r:id="rId15" location="L117" display="cbl/CBACT04C.cbl"/>
    <hyperlink ref="F17" r:id="rId16" location="L326" display="cbl/CBACT04C.cbl"/>
    <hyperlink ref="F18" r:id="rId17" location="L394" display="cbl/CBACT04C.cbl"/>
    <hyperlink ref="F19" r:id="rId18" location="L416" display="cbl/CBACT04C.cbl"/>
    <hyperlink ref="F20" r:id="rId19" location="L373" display="cbl/CBACT04C.cbl"/>
    <hyperlink ref="F21" r:id="rId20" location="L500" display="cbl/CBACT04C.cbl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8"/>
    <col collapsed="false" customWidth="true" hidden="false" outlineLevel="0" max="3" min="3" style="0" width="12"/>
    <col collapsed="false" customWidth="true" hidden="false" outlineLevel="0" max="5" min="4" style="0" width="11"/>
    <col collapsed="false" customWidth="true" hidden="false" outlineLevel="0" max="6" min="6" style="0" width="12"/>
    <col collapsed="false" customWidth="true" hidden="false" outlineLevel="0" max="7" min="7" style="0" width="11"/>
  </cols>
  <sheetData>
    <row r="1" customFormat="false" ht="16.5" hidden="false" customHeight="true" outlineLevel="0" collapsed="false">
      <c r="A1" s="8" t="s">
        <v>144</v>
      </c>
    </row>
    <row r="3" customFormat="false" ht="14.25" hidden="false" customHeight="false" outlineLevel="0" collapsed="false">
      <c r="A3" s="9" t="s">
        <v>145</v>
      </c>
      <c r="B3" s="9" t="s">
        <v>146</v>
      </c>
      <c r="C3" s="9" t="s">
        <v>147</v>
      </c>
      <c r="D3" s="9" t="s">
        <v>148</v>
      </c>
      <c r="E3" s="9" t="s">
        <v>149</v>
      </c>
      <c r="F3" s="9" t="s">
        <v>150</v>
      </c>
      <c r="G3" s="9" t="s">
        <v>151</v>
      </c>
    </row>
    <row r="4" customFormat="false" ht="14.25" hidden="false" customHeight="false" outlineLevel="0" collapsed="false">
      <c r="A4" s="10" t="s">
        <v>152</v>
      </c>
      <c r="B4" s="10" t="n">
        <f aca="false">COUNTA(Nodes!A2:A17)</f>
        <v>16</v>
      </c>
      <c r="C4" s="10" t="n">
        <f aca="false">COUNTIF(Nodes!G2:G17,"Y")</f>
        <v>16</v>
      </c>
      <c r="D4" s="10" t="n">
        <f aca="false">COUNTIF(Nodes!G2:G17,"N")</f>
        <v>0</v>
      </c>
      <c r="E4" s="10" t="n">
        <f aca="false">COUNTIF(Nodes!G2:G17,"~?")</f>
        <v>0</v>
      </c>
      <c r="F4" s="10" t="n">
        <f aca="false">B4-C4-D4-E4</f>
        <v>0</v>
      </c>
      <c r="G4" s="11" t="n">
        <f aca="false">IF(B4=0,0,(C4+D4+E4)/B4)</f>
        <v>1</v>
      </c>
    </row>
    <row r="5" customFormat="false" ht="14.25" hidden="false" customHeight="false" outlineLevel="0" collapsed="false">
      <c r="A5" s="10" t="s">
        <v>153</v>
      </c>
      <c r="B5" s="10" t="n">
        <f aca="false">COUNTA(Relationships!A2:A21)</f>
        <v>20</v>
      </c>
      <c r="C5" s="10" t="n">
        <f aca="false">COUNTIF(Relationships!H2:H21,"Y")</f>
        <v>20</v>
      </c>
      <c r="D5" s="10" t="n">
        <f aca="false">COUNTIF(Relationships!H2:H21,"N")</f>
        <v>0</v>
      </c>
      <c r="E5" s="10" t="n">
        <f aca="false">COUNTIF(Relationships!H2:H21,"~?")</f>
        <v>0</v>
      </c>
      <c r="F5" s="10" t="n">
        <f aca="false">B5-C5-D5-E5</f>
        <v>0</v>
      </c>
      <c r="G5" s="11" t="n">
        <f aca="false">IF(B5=0,0,(C5+D5+E5)/B5)</f>
        <v>1</v>
      </c>
    </row>
    <row r="6" customFormat="false" ht="14.25" hidden="false" customHeight="false" outlineLevel="0" collapsed="false">
      <c r="A6" s="12" t="s">
        <v>154</v>
      </c>
      <c r="B6" s="12" t="n">
        <f aca="false">SUM(B4:B5)</f>
        <v>36</v>
      </c>
      <c r="C6" s="12" t="n">
        <f aca="false">SUM(C4:C5)</f>
        <v>36</v>
      </c>
      <c r="D6" s="12" t="n">
        <f aca="false">SUM(D4:D5)</f>
        <v>0</v>
      </c>
      <c r="E6" s="12" t="n">
        <f aca="false">SUM(E4:E5)</f>
        <v>0</v>
      </c>
      <c r="F6" s="12" t="n">
        <f aca="false">SUM(F4:F5)</f>
        <v>0</v>
      </c>
      <c r="G6" s="13" t="n">
        <f aca="false">IF(B6=0,0,(C6+D6+E6)/B6)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2026-10-13T12:44:42Z</dcterms:created>
  <dc:creator>openpyxl</dc:creator>
  <dc:description/>
  <dc:language>en-US</dc:language>
  <cp:lastModifiedBy>Dr. Bautista</cp:lastModifiedBy>
  <dcterms:modified xsi:type="dcterms:W3CDTF">2026-10-13T15:57:54Z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